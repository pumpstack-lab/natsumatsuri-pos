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計結果" sheetId="1" state="visible" r:id="rId1"/>
    <sheet xmlns:r="http://schemas.openxmlformats.org/officeDocument/2006/relationships" name="商品別集計" sheetId="2" state="visible" r:id="rId2"/>
    <sheet xmlns:r="http://schemas.openxmlformats.org/officeDocument/2006/relationships" name="貼り付け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¥&quot;#,##0"/>
    <numFmt numFmtId="165" formatCode="#,##0&quot;件&quot;"/>
    <numFmt numFmtId="166" formatCode="#,##0&quot;行&quot;"/>
  </numFmts>
  <fonts count="15">
    <font>
      <name val="Calibri"/>
      <family val="2"/>
      <color theme="1"/>
      <sz val="11"/>
      <scheme val="minor"/>
    </font>
    <font>
      <name val="Arial"/>
      <b val="1"/>
      <sz val="18"/>
    </font>
    <font>
      <name val="Arial"/>
      <color rgb="0086868B"/>
      <sz val="10"/>
    </font>
    <font>
      <name val="Arial"/>
      <b val="1"/>
      <color rgb="00FFFFFF"/>
      <sz val="11"/>
    </font>
    <font>
      <name val="Arial"/>
      <b val="1"/>
      <color rgb="00FFFFFF"/>
      <sz val="20"/>
    </font>
    <font>
      <name val="Arial"/>
      <b val="1"/>
      <sz val="12"/>
    </font>
    <font>
      <name val="Arial"/>
      <b val="1"/>
      <color rgb="0086868B"/>
      <sz val="10"/>
    </font>
    <font>
      <name val="Arial"/>
      <sz val="11"/>
    </font>
    <font>
      <name val="Arial"/>
      <sz val="10"/>
    </font>
    <font>
      <name val="Arial"/>
      <color rgb="00C2410C"/>
      <sz val="10"/>
    </font>
    <font>
      <name val="Arial"/>
      <b val="1"/>
      <sz val="16"/>
    </font>
    <font>
      <name val="Arial"/>
      <color rgb="000000FF"/>
      <sz val="11"/>
    </font>
    <font>
      <name val="Arial"/>
      <b val="1"/>
      <sz val="11"/>
    </font>
    <font>
      <name val="Arial"/>
      <b val="1"/>
      <color rgb="00FFFFFF"/>
      <sz val="10"/>
    </font>
    <font>
      <name val="Arial"/>
      <i val="1"/>
      <color rgb="0086868B"/>
      <sz val="10"/>
    </font>
  </fonts>
  <fills count="5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F5F5F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2D2D7"/>
      </left>
      <right style="thin">
        <color rgb="00D2D2D7"/>
      </right>
      <top style="thin">
        <color rgb="00D2D2D7"/>
      </top>
      <bottom style="thin">
        <color rgb="00D2D2D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164" fontId="4" fillId="2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3" borderId="1" pivotButton="0" quotePrefix="0" xfId="0"/>
    <xf numFmtId="0" fontId="7" fillId="0" borderId="1" pivotButton="0" quotePrefix="0" xfId="0"/>
    <xf numFmtId="164" fontId="7" fillId="0" borderId="1" pivotButton="0" quotePrefix="0" xfId="0"/>
    <xf numFmtId="3" fontId="7" fillId="0" borderId="1" pivotButton="0" quotePrefix="0" xfId="0"/>
    <xf numFmtId="0" fontId="8" fillId="0" borderId="0" pivotButton="0" quotePrefix="0" xfId="0"/>
    <xf numFmtId="165" fontId="8" fillId="0" borderId="0" pivotButton="0" quotePrefix="0" xfId="0"/>
    <xf numFmtId="164" fontId="8" fillId="0" borderId="0" pivotButton="0" quotePrefix="0" xfId="0"/>
    <xf numFmtId="166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4" borderId="1" pivotButton="0" quotePrefix="0" xfId="0"/>
    <xf numFmtId="0" fontId="12" fillId="0" borderId="1" pivotButton="0" quotePrefix="0" xfId="0"/>
    <xf numFmtId="3" fontId="12" fillId="0" borderId="1" pivotButton="0" quotePrefix="0" xfId="0"/>
    <xf numFmtId="164" fontId="12" fillId="0" borderId="1" pivotButton="0" quotePrefix="0" xfId="0"/>
    <xf numFmtId="0" fontId="13" fillId="2" borderId="1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12" customWidth="1" min="4" max="4"/>
  </cols>
  <sheetData>
    <row r="2">
      <c r="B2" s="1" t="inlineStr">
        <is>
          <t>夏祭り屋台 売上集計</t>
        </is>
      </c>
    </row>
    <row r="3">
      <c r="B3" s="2" t="inlineStr">
        <is>
          <t>「貼り付け」シートに2台分のCSVを貼ると、ここに自動集計されます</t>
        </is>
      </c>
    </row>
    <row r="5" ht="34" customHeight="1">
      <c r="B5" s="3" t="inlineStr">
        <is>
          <t>総売上</t>
        </is>
      </c>
      <c r="C5" s="4">
        <f>SUMIF(貼り付け!K:K,"有効",貼り付け!G:G)</f>
        <v/>
      </c>
    </row>
    <row r="7">
      <c r="B7" s="5" t="inlineStr">
        <is>
          <t>窓口別の売上</t>
        </is>
      </c>
    </row>
    <row r="8">
      <c r="B8" s="6" t="inlineStr">
        <is>
          <t>窓口</t>
        </is>
      </c>
      <c r="C8" s="6" t="inlineStr">
        <is>
          <t>売上</t>
        </is>
      </c>
      <c r="D8" s="6" t="inlineStr">
        <is>
          <t>会計数</t>
        </is>
      </c>
    </row>
    <row r="9">
      <c r="B9" s="7" t="inlineStr">
        <is>
          <t>フード</t>
        </is>
      </c>
      <c r="C9" s="8">
        <f>SUMIFS(貼り付け!G:G,貼り付け!K:K,"有効",貼り付け!C:C,"フード")</f>
        <v/>
      </c>
      <c r="D9" s="9">
        <f>SUMPRODUCT((貼り付け!$K$2:$K$5000="有効")*(貼り付け!$C$2:$C$5000="フード")/COUNTIFS(貼り付け!$A$2:$A$5000,貼り付け!$A$2:$A$5000&amp;""))</f>
        <v/>
      </c>
    </row>
    <row r="10">
      <c r="B10" s="7" t="inlineStr">
        <is>
          <t>ドリンク</t>
        </is>
      </c>
      <c r="C10" s="8">
        <f>SUMIFS(貼り付け!G:G,貼り付け!K:K,"有効",貼り付け!C:C,"ドリンク")</f>
        <v/>
      </c>
      <c r="D10" s="9">
        <f>SUMPRODUCT((貼り付け!$K$2:$K$5000="有効")*(貼り付け!$C$2:$C$5000="ドリンク")/COUNTIFS(貼り付け!$A$2:$A$5000,貼り付け!$A$2:$A$5000&amp;""))</f>
        <v/>
      </c>
    </row>
    <row r="12">
      <c r="B12" s="5" t="inlineStr">
        <is>
          <t>検算（ここが合っていれば集計は正しい）</t>
        </is>
      </c>
    </row>
    <row r="13">
      <c r="B13" s="10" t="inlineStr">
        <is>
          <t>有効な会計の件数</t>
        </is>
      </c>
      <c r="C13" s="11">
        <f>SUMPRODUCT((貼り付け!$K$2:$K$5000="有効")/COUNTIFS(貼り付け!$A$2:$A$5000,貼り付け!$A$2:$A$5000&amp;""))</f>
        <v/>
      </c>
    </row>
    <row r="14">
      <c r="B14" s="10" t="inlineStr">
        <is>
          <t>取消した会計の件数</t>
        </is>
      </c>
      <c r="C14" s="11">
        <f>SUMPRODUCT((貼り付け!$K$2:$K$5000="取消")/COUNTIFS(貼り付け!$A$2:$A$5000,貼り付け!$A$2:$A$5000&amp;""))</f>
        <v/>
      </c>
    </row>
    <row r="15">
      <c r="B15" s="10" t="inlineStr">
        <is>
          <t>取消の合計額（売上に含まれません）</t>
        </is>
      </c>
      <c r="C15" s="12">
        <f>SUMIF(貼り付け!K:K,"取消",貼り付け!G:G)</f>
        <v/>
      </c>
    </row>
    <row r="16">
      <c r="B16" s="10" t="inlineStr">
        <is>
          <t>読み込んだ明細行数</t>
        </is>
      </c>
      <c r="C16" s="13">
        <f>COUNTA(貼り付け!A:A)-1</f>
        <v/>
      </c>
    </row>
    <row r="18">
      <c r="B18" s="14" t="inlineStr">
        <is>
          <t>※ 各iPadの「履歴・集計」画面の総売上を足した金額と、上の総売上が一致するか必ず確認してください。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6" customWidth="1" min="4" max="4"/>
  </cols>
  <sheetData>
    <row r="2">
      <c r="B2" s="15" t="inlineStr">
        <is>
          <t>商品別の売上</t>
        </is>
      </c>
    </row>
    <row r="3">
      <c r="B3" s="2" t="inlineStr">
        <is>
          <t>商品名をB列に入力すると、売れた個数と金額が出ます（取消は除外されます）</t>
        </is>
      </c>
    </row>
    <row r="5">
      <c r="B5" s="6" t="inlineStr">
        <is>
          <t>商品名</t>
        </is>
      </c>
      <c r="C5" s="6" t="inlineStr">
        <is>
          <t>売れた個数</t>
        </is>
      </c>
      <c r="D5" s="6" t="inlineStr">
        <is>
          <t>売上金額</t>
        </is>
      </c>
    </row>
    <row r="6">
      <c r="B6" s="16" t="inlineStr">
        <is>
          <t>焼きそば</t>
        </is>
      </c>
      <c r="C6" s="9">
        <f>SUMIFS(貼り付け!$F:$F,貼り付け!$K:$K,"有効",貼り付け!$D:$D,$B6)</f>
        <v/>
      </c>
      <c r="D6" s="8">
        <f>SUMIFS(貼り付け!$G:$G,貼り付け!$K:$K,"有効",貼り付け!$D:$D,$B6)</f>
        <v/>
      </c>
    </row>
    <row r="7">
      <c r="B7" s="16" t="inlineStr">
        <is>
          <t>たこ焼き</t>
        </is>
      </c>
      <c r="C7" s="9">
        <f>SUMIFS(貼り付け!$F:$F,貼り付け!$K:$K,"有効",貼り付け!$D:$D,$B7)</f>
        <v/>
      </c>
      <c r="D7" s="8">
        <f>SUMIFS(貼り付け!$G:$G,貼り付け!$K:$K,"有効",貼り付け!$D:$D,$B7)</f>
        <v/>
      </c>
    </row>
    <row r="8">
      <c r="B8" s="16" t="inlineStr">
        <is>
          <t>フランクフルト</t>
        </is>
      </c>
      <c r="C8" s="9">
        <f>SUMIFS(貼り付け!$F:$F,貼り付け!$K:$K,"有効",貼り付け!$D:$D,$B8)</f>
        <v/>
      </c>
      <c r="D8" s="8">
        <f>SUMIFS(貼り付け!$G:$G,貼り付け!$K:$K,"有効",貼り付け!$D:$D,$B8)</f>
        <v/>
      </c>
    </row>
    <row r="9">
      <c r="B9" s="16" t="inlineStr">
        <is>
          <t>からあげ</t>
        </is>
      </c>
      <c r="C9" s="9">
        <f>SUMIFS(貼り付け!$F:$F,貼り付け!$K:$K,"有効",貼り付け!$D:$D,$B9)</f>
        <v/>
      </c>
      <c r="D9" s="8">
        <f>SUMIFS(貼り付け!$G:$G,貼り付け!$K:$K,"有効",貼り付け!$D:$D,$B9)</f>
        <v/>
      </c>
    </row>
    <row r="10">
      <c r="B10" s="16" t="inlineStr">
        <is>
          <t>かき氷</t>
        </is>
      </c>
      <c r="C10" s="9">
        <f>SUMIFS(貼り付け!$F:$F,貼り付け!$K:$K,"有効",貼り付け!$D:$D,$B10)</f>
        <v/>
      </c>
      <c r="D10" s="8">
        <f>SUMIFS(貼り付け!$G:$G,貼り付け!$K:$K,"有効",貼り付け!$D:$D,$B10)</f>
        <v/>
      </c>
    </row>
    <row r="11">
      <c r="B11" s="16" t="inlineStr">
        <is>
          <t>綿菓子</t>
        </is>
      </c>
      <c r="C11" s="9">
        <f>SUMIFS(貼り付け!$F:$F,貼り付け!$K:$K,"有効",貼り付け!$D:$D,$B11)</f>
        <v/>
      </c>
      <c r="D11" s="8">
        <f>SUMIFS(貼り付け!$G:$G,貼り付け!$K:$K,"有効",貼り付け!$D:$D,$B11)</f>
        <v/>
      </c>
    </row>
    <row r="12">
      <c r="B12" s="16" t="inlineStr">
        <is>
          <t>ラムネ</t>
        </is>
      </c>
      <c r="C12" s="9">
        <f>SUMIFS(貼り付け!$F:$F,貼り付け!$K:$K,"有効",貼り付け!$D:$D,$B12)</f>
        <v/>
      </c>
      <c r="D12" s="8">
        <f>SUMIFS(貼り付け!$G:$G,貼り付け!$K:$K,"有効",貼り付け!$D:$D,$B12)</f>
        <v/>
      </c>
    </row>
    <row r="13">
      <c r="B13" s="16" t="inlineStr">
        <is>
          <t>お茶</t>
        </is>
      </c>
      <c r="C13" s="9">
        <f>SUMIFS(貼り付け!$F:$F,貼り付け!$K:$K,"有効",貼り付け!$D:$D,$B13)</f>
        <v/>
      </c>
      <c r="D13" s="8">
        <f>SUMIFS(貼り付け!$G:$G,貼り付け!$K:$K,"有効",貼り付け!$D:$D,$B13)</f>
        <v/>
      </c>
    </row>
    <row r="14">
      <c r="B14" s="16" t="inlineStr">
        <is>
          <t>ジュース</t>
        </is>
      </c>
      <c r="C14" s="9">
        <f>SUMIFS(貼り付け!$F:$F,貼り付け!$K:$K,"有効",貼り付け!$D:$D,$B14)</f>
        <v/>
      </c>
      <c r="D14" s="8">
        <f>SUMIFS(貼り付け!$G:$G,貼り付け!$K:$K,"有効",貼り付け!$D:$D,$B14)</f>
        <v/>
      </c>
    </row>
    <row r="15">
      <c r="B15" s="16" t="inlineStr">
        <is>
          <t>ビール</t>
        </is>
      </c>
      <c r="C15" s="9">
        <f>SUMIFS(貼り付け!$F:$F,貼り付け!$K:$K,"有効",貼り付け!$D:$D,$B15)</f>
        <v/>
      </c>
      <c r="D15" s="8">
        <f>SUMIFS(貼り付け!$G:$G,貼り付け!$K:$K,"有効",貼り付け!$D:$D,$B15)</f>
        <v/>
      </c>
    </row>
    <row r="16">
      <c r="B16" s="16" t="inlineStr">
        <is>
          <t>ノンアル</t>
        </is>
      </c>
      <c r="C16" s="9">
        <f>SUMIFS(貼り付け!$F:$F,貼り付け!$K:$K,"有効",貼り付け!$D:$D,$B16)</f>
        <v/>
      </c>
      <c r="D16" s="8">
        <f>SUMIFS(貼り付け!$G:$G,貼り付け!$K:$K,"有効",貼り付け!$D:$D,$B16)</f>
        <v/>
      </c>
    </row>
    <row r="17">
      <c r="B17" s="17" t="inlineStr">
        <is>
          <t>合計</t>
        </is>
      </c>
      <c r="C17" s="18">
        <f>SUM(C6:C16)</f>
        <v/>
      </c>
      <c r="D17" s="19">
        <f>SUM(D6:D16)</f>
        <v/>
      </c>
    </row>
    <row r="19">
      <c r="B19" s="2" t="inlineStr">
        <is>
          <t>※ 黄色いセルは書き換えてOKです。当日メニューを変えた場合はここも合わせてください。</t>
        </is>
      </c>
    </row>
    <row r="20">
      <c r="B20" s="14" t="inlineStr">
        <is>
          <t>※ この合計と「集計結果」シートの総売上が一致すれば、商品名の書き漏れはありません。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20" t="inlineStr">
        <is>
          <t>会計ID</t>
        </is>
      </c>
      <c r="B1" s="20" t="inlineStr">
        <is>
          <t>顧客番号</t>
        </is>
      </c>
      <c r="C1" s="20" t="inlineStr">
        <is>
          <t>窓口</t>
        </is>
      </c>
      <c r="D1" s="20" t="inlineStr">
        <is>
          <t>商品名</t>
        </is>
      </c>
      <c r="E1" s="20" t="inlineStr">
        <is>
          <t>単価</t>
        </is>
      </c>
      <c r="F1" s="20" t="inlineStr">
        <is>
          <t>個数</t>
        </is>
      </c>
      <c r="G1" s="20" t="inlineStr">
        <is>
          <t>小計</t>
        </is>
      </c>
      <c r="H1" s="20" t="inlineStr">
        <is>
          <t>会計合計</t>
        </is>
      </c>
      <c r="I1" s="20" t="inlineStr">
        <is>
          <t>預かり</t>
        </is>
      </c>
      <c r="J1" s="20" t="inlineStr">
        <is>
          <t>お釣り</t>
        </is>
      </c>
      <c r="K1" s="20" t="inlineStr">
        <is>
          <t>状態</t>
        </is>
      </c>
      <c r="L1" s="20" t="inlineStr">
        <is>
          <t>登録時刻</t>
        </is>
      </c>
    </row>
    <row r="2">
      <c r="A2" s="21" t="inlineStr">
        <is>
          <t>food-2026-09-18T10:00:00.000Z-1-1</t>
        </is>
      </c>
      <c r="B2" s="21" t="n">
        <v>1</v>
      </c>
      <c r="C2" s="21" t="inlineStr">
        <is>
          <t>フード</t>
        </is>
      </c>
      <c r="D2" s="21" t="inlineStr">
        <is>
          <t>焼きそば</t>
        </is>
      </c>
      <c r="E2" s="21" t="n">
        <v>500</v>
      </c>
      <c r="F2" s="21" t="n">
        <v>2</v>
      </c>
      <c r="G2" s="21" t="n">
        <v>1000</v>
      </c>
      <c r="H2" s="21" t="n">
        <v>1400</v>
      </c>
      <c r="I2" s="21" t="n">
        <v>2000</v>
      </c>
      <c r="J2" s="21" t="n">
        <v>600</v>
      </c>
      <c r="K2" s="21" t="inlineStr">
        <is>
          <t>有効</t>
        </is>
      </c>
      <c r="L2" s="21" t="inlineStr">
        <is>
          <t>2026/09/18 19:00</t>
        </is>
      </c>
    </row>
    <row r="4">
      <c r="A4" s="14" t="inlineStr">
        <is>
          <t>↑ この行は「こういう形で入ります」という見本です。CSVを貼る前に2行目ごと削除してください。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2026-08-18T08:01:55Z</dcterms:created>
  <dcterms:modified xmlns:dcterms="http://purl.org/dc/terms/" xmlns:xsi="http://www.w3.org/2001/XMLSchema-instance" xsi:type="dcterms:W3CDTF">2026-08-18T08:01:55Z</dcterms:modified>
</cp:coreProperties>
</file>